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/>
  </bookViews>
  <sheets>
    <sheet name="Grille tarifaire" sheetId="1" r:id="rId1"/>
  </sheets>
  <externalReferences>
    <externalReference r:id="rId2"/>
  </externalReferences>
  <definedNames>
    <definedName name="_xlnm._FilterDatabase" localSheetId="0" hidden="1">'Grille tarifaire'!$A$5:$J$5</definedName>
    <definedName name="_xlnm.Print_Titles" localSheetId="0">'Grille tarifaire'!$1:$5</definedName>
    <definedName name="statut" localSheetId="0">'Grille tarifaire'!#REF!</definedName>
    <definedName name="statut">'[1]SUIVI CARBURANT'!#REF!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H13" i="1"/>
  <c r="F13" i="1"/>
  <c r="M12" i="1"/>
  <c r="M13" i="1" s="1"/>
  <c r="G12" i="1"/>
  <c r="I12" i="1" s="1"/>
  <c r="I13" i="1" s="1"/>
  <c r="D12" i="1"/>
  <c r="D13" i="1" s="1"/>
  <c r="K8" i="1"/>
  <c r="I8" i="1"/>
  <c r="H8" i="1"/>
  <c r="F8" i="1"/>
  <c r="G8" i="1" s="1"/>
  <c r="E8" i="1"/>
  <c r="D8" i="1"/>
  <c r="M7" i="1"/>
  <c r="M8" i="1" s="1"/>
  <c r="D7" i="1"/>
  <c r="E7" i="1"/>
  <c r="P6" i="1"/>
  <c r="G7" i="1" s="1"/>
  <c r="I7" i="1" s="1"/>
  <c r="E12" i="1" l="1"/>
  <c r="K7" i="1"/>
  <c r="J7" i="1" s="1"/>
  <c r="N7" i="1" s="1"/>
  <c r="E13" i="1" l="1"/>
  <c r="K12" i="1"/>
  <c r="O7" i="1"/>
  <c r="O8" i="1" s="1"/>
  <c r="K13" i="1" l="1"/>
  <c r="J12" i="1"/>
  <c r="N12" i="1" s="1"/>
  <c r="O12" i="1"/>
  <c r="O13" i="1" s="1"/>
</calcChain>
</file>

<file path=xl/sharedStrings.xml><?xml version="1.0" encoding="utf-8"?>
<sst xmlns="http://schemas.openxmlformats.org/spreadsheetml/2006/main" count="44" uniqueCount="17">
  <si>
    <t>DISTANCE</t>
  </si>
  <si>
    <t>MARGE NETTE</t>
  </si>
  <si>
    <t>PAR TONNE</t>
  </si>
  <si>
    <t>QUANTITE CARBURANT</t>
  </si>
  <si>
    <t>MONTANT CARBURANT</t>
  </si>
  <si>
    <t>FRAIS DE 
ROUTE</t>
  </si>
  <si>
    <t>TOTAL</t>
  </si>
  <si>
    <t>50 T</t>
  </si>
  <si>
    <t>CHARGE FIXE</t>
  </si>
  <si>
    <t>PRIX D'ACHAT CADERAC</t>
  </si>
  <si>
    <t>250 T</t>
  </si>
  <si>
    <t>PRIX DE REVIENT</t>
  </si>
  <si>
    <t xml:space="preserve">50 T </t>
  </si>
  <si>
    <t>REMISE 5%</t>
  </si>
  <si>
    <t>PRIX DE VENTE</t>
  </si>
  <si>
    <t>CADERAC-ACM CORRIDOR SUD</t>
  </si>
  <si>
    <t>CADERAC-THIELEKRO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</si>
</sst>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NumberFormat="1" applyFill="1" applyAlignment="1">
      <alignment horizontal="center"/>
    </xf>
    <xf numFmtId="0" fontId="0" fillId="2" borderId="0" xfId="0" applyNumberFormat="1" applyFill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 vertical="center"/>
    </xf>
    <xf numFmtId="0" fontId="0" fillId="3" borderId="0" xfId="0" applyNumberFormat="1" applyFill="1"/>
    <xf numFmtId="0" fontId="0" fillId="4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 vertical="center"/>
    </xf>
    <xf numFmtId="0" fontId="0" fillId="4" borderId="0" xfId="0" applyNumberFormat="1" applyFill="1"/>
    <xf numFmtId="0" fontId="2" fillId="5" borderId="1" xfId="0" applyNumberFormat="1" applyFont="1" applyFill="1" applyBorder="1" applyAlignment="1">
      <alignment horizontal="center" vertical="center" wrapText="1"/>
    </xf>
    <xf numFmtId="0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NumberFormat="1" applyFont="1" applyFill="1" applyBorder="1" applyAlignment="1">
      <alignment horizontal="center" vertical="center" wrapText="1"/>
    </xf>
    <xf numFmtId="0" fontId="2" fillId="5" borderId="3" xfId="0" applyNumberFormat="1" applyFont="1" applyFill="1" applyBorder="1" applyAlignment="1">
      <alignment horizontal="center" vertical="center" wrapText="1"/>
    </xf>
    <xf numFmtId="0" fontId="2" fillId="5" borderId="4" xfId="0" applyNumberFormat="1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 wrapText="1"/>
    </xf>
    <xf numFmtId="0" fontId="0" fillId="5" borderId="2" xfId="0" applyNumberFormat="1" applyFill="1" applyBorder="1" applyAlignment="1">
      <alignment horizontal="center" vertical="center"/>
    </xf>
    <xf numFmtId="0" fontId="0" fillId="5" borderId="4" xfId="0" applyNumberForma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</xdr:rowOff>
    </xdr:from>
    <xdr:to>
      <xdr:col>2</xdr:col>
      <xdr:colOff>120419</xdr:colOff>
      <xdr:row>1</xdr:row>
      <xdr:rowOff>510540</xdr:rowOff>
    </xdr:to>
    <xdr:pic>
      <xdr:nvPicPr>
        <xdr:cNvPr id="2" name="Image 1"/>
        <xdr:cNvPicPr/>
      </xdr:nvPicPr>
      <xdr:blipFill rotWithShape="1">
        <a:blip xmlns:r="http://schemas.openxmlformats.org/officeDocument/2006/relationships" r:embed="rId1" cstate="print"/>
        <a:srcRect l="216" t="13072" r="-216"/>
        <a:stretch/>
      </xdr:blipFill>
      <xdr:spPr>
        <a:xfrm>
          <a:off x="0" y="533400"/>
          <a:ext cx="1998326" cy="495300"/>
        </a:xfrm>
        <a:prstGeom prst="rect">
          <a:avLst/>
        </a:prstGeom>
        <a:ln>
          <a:solidFill>
            <a:schemeClr val="accent6">
              <a:lumMod val="50000"/>
            </a:schemeClr>
          </a:solidFill>
        </a:ln>
      </xdr:spPr>
    </xdr:pic>
    <xdr:clientData/>
  </xdr:twoCellAnchor>
  <xdr:oneCellAnchor>
    <xdr:from>
      <xdr:col>4</xdr:col>
      <xdr:colOff>657</xdr:colOff>
      <xdr:row>1</xdr:row>
      <xdr:rowOff>471485</xdr:rowOff>
    </xdr:from>
    <xdr:ext cx="5267019" cy="937629"/>
    <xdr:sp macro="" textlink="">
      <xdr:nvSpPr>
        <xdr:cNvPr id="3" name="Rectangle 2"/>
        <xdr:cNvSpPr/>
      </xdr:nvSpPr>
      <xdr:spPr>
        <a:xfrm>
          <a:off x="3307737" y="989645"/>
          <a:ext cx="5267019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400" b="1" cap="none" spc="0">
              <a:ln w="10160">
                <a:solidFill>
                  <a:schemeClr val="accent2">
                    <a:lumMod val="50000"/>
                  </a:schemeClr>
                </a:solidFill>
                <a:prstDash val="solid"/>
              </a:ln>
              <a:solidFill>
                <a:schemeClr val="accent6">
                  <a:lumMod val="50000"/>
                </a:schemeClr>
              </a:soli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a:rPr>
            <a:t>GRILLE TARIFAIRE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chier%20de%20suivi%20%20TLM%20du%2017-08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VI DE LIVRAISON"/>
      <sheetName val="PERFORMANCE"/>
      <sheetName val="GRAPH"/>
      <sheetName val="SUIVI CARBURANT"/>
      <sheetName val="BON DE DECAISSEMENT"/>
      <sheetName val="ETAT FINANCIER"/>
      <sheetName val="PUCES FLOTTES TLM"/>
      <sheetName val="INFOS CHAUFFEURS"/>
      <sheetName val="INFOS AGENTS"/>
      <sheetName val="TABLEAU DE BORD GLOBAL"/>
      <sheetName val="SUIVI DE LIVRAISON VIDE"/>
      <sheetName val="feuille de calcu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tabSelected="1" topLeftCell="A2" zoomScale="90" zoomScaleNormal="90" workbookViewId="0">
      <selection activeCell="O13" sqref="O13"/>
    </sheetView>
  </sheetViews>
  <sheetFormatPr baseColWidth="10" defaultRowHeight="14.4" x14ac:dyDescent="0.3"/>
  <cols>
    <col min="1" max="1" width="7.88671875" style="3" customWidth="1"/>
    <col min="2" max="2" width="19.5546875" style="3" customWidth="1"/>
    <col min="3" max="4" width="12.88671875" style="3" customWidth="1"/>
    <col min="5" max="5" width="9.88671875" style="3" customWidth="1"/>
    <col min="6" max="8" width="13.5546875" style="23" customWidth="1"/>
    <col min="9" max="11" width="11.6640625" style="3" customWidth="1"/>
    <col min="12" max="16384" width="11.5546875" style="3"/>
  </cols>
  <sheetData>
    <row r="1" spans="1:17" ht="40.799999999999997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</row>
    <row r="2" spans="1:17" ht="40.799999999999997" customHeight="1" x14ac:dyDescent="0.3">
      <c r="A2" s="4"/>
      <c r="B2" s="4"/>
      <c r="C2" s="4"/>
      <c r="D2" s="4"/>
      <c r="E2" s="5"/>
      <c r="F2" s="6"/>
      <c r="G2" s="6"/>
      <c r="H2" s="6"/>
      <c r="I2" s="5"/>
      <c r="J2" s="5"/>
      <c r="K2" s="5"/>
      <c r="L2" s="7"/>
      <c r="M2" s="7"/>
      <c r="N2" s="7"/>
      <c r="O2" s="7"/>
    </row>
    <row r="3" spans="1:17" ht="34.799999999999997" customHeight="1" x14ac:dyDescent="0.3">
      <c r="A3" s="8"/>
      <c r="B3" s="8"/>
      <c r="C3" s="8"/>
      <c r="D3" s="8"/>
      <c r="E3" s="8"/>
      <c r="F3" s="9"/>
      <c r="G3" s="9"/>
      <c r="H3" s="9"/>
      <c r="I3" s="8"/>
      <c r="J3" s="8"/>
      <c r="K3" s="8"/>
      <c r="L3" s="10"/>
      <c r="M3" s="10"/>
      <c r="N3" s="10"/>
      <c r="O3" s="10"/>
    </row>
    <row r="4" spans="1:17" ht="34.799999999999997" customHeight="1" x14ac:dyDescent="0.3">
      <c r="A4" s="8"/>
      <c r="B4" s="8"/>
      <c r="C4" s="8"/>
      <c r="D4" s="8"/>
      <c r="E4" s="8"/>
      <c r="F4" s="9"/>
      <c r="G4" s="9"/>
      <c r="H4" s="9"/>
      <c r="I4" s="8"/>
      <c r="J4" s="8"/>
      <c r="K4" s="8"/>
      <c r="L4" s="10"/>
      <c r="M4" s="10"/>
      <c r="N4" s="10"/>
      <c r="O4" s="10"/>
      <c r="P4" s="3">
        <v>350</v>
      </c>
    </row>
    <row r="5" spans="1:17" ht="30" customHeight="1" x14ac:dyDescent="0.3">
      <c r="A5" s="11"/>
      <c r="B5" s="12" t="s">
        <v>0</v>
      </c>
      <c r="C5" s="13" t="s">
        <v>9</v>
      </c>
      <c r="D5" s="14"/>
      <c r="E5" s="14"/>
      <c r="F5" s="11" t="s">
        <v>8</v>
      </c>
      <c r="G5" s="11"/>
      <c r="H5" s="11"/>
      <c r="I5" s="11"/>
      <c r="J5" s="13" t="s">
        <v>11</v>
      </c>
      <c r="K5" s="24"/>
      <c r="L5" s="25" t="s">
        <v>14</v>
      </c>
      <c r="M5" s="26"/>
      <c r="N5" s="25" t="s">
        <v>1</v>
      </c>
      <c r="O5" s="26"/>
      <c r="P5" s="3">
        <v>285</v>
      </c>
      <c r="Q5" s="3">
        <v>570</v>
      </c>
    </row>
    <row r="6" spans="1:17" ht="30" customHeight="1" x14ac:dyDescent="0.3">
      <c r="A6" s="11"/>
      <c r="B6" s="15" t="s">
        <v>15</v>
      </c>
      <c r="C6" s="16" t="s">
        <v>2</v>
      </c>
      <c r="D6" s="16" t="s">
        <v>12</v>
      </c>
      <c r="E6" s="16" t="s">
        <v>13</v>
      </c>
      <c r="F6" s="16" t="s">
        <v>3</v>
      </c>
      <c r="G6" s="16" t="s">
        <v>4</v>
      </c>
      <c r="H6" s="16" t="s">
        <v>5</v>
      </c>
      <c r="I6" s="17" t="s">
        <v>6</v>
      </c>
      <c r="J6" s="17" t="s">
        <v>2</v>
      </c>
      <c r="K6" s="16" t="s">
        <v>7</v>
      </c>
      <c r="L6" s="18" t="s">
        <v>2</v>
      </c>
      <c r="M6" s="19" t="s">
        <v>7</v>
      </c>
      <c r="N6" s="18" t="s">
        <v>2</v>
      </c>
      <c r="O6" s="19" t="s">
        <v>7</v>
      </c>
      <c r="P6" s="3">
        <f>P4/Q5</f>
        <v>0.61403508771929827</v>
      </c>
    </row>
    <row r="7" spans="1:17" ht="27.6" customHeight="1" x14ac:dyDescent="0.3">
      <c r="A7" s="20" t="s">
        <v>7</v>
      </c>
      <c r="B7" s="20">
        <v>25</v>
      </c>
      <c r="C7" s="21">
        <v>8732</v>
      </c>
      <c r="D7" s="21">
        <f>(C7*50)</f>
        <v>436600</v>
      </c>
      <c r="E7" s="21">
        <f>D7*0.95</f>
        <v>414770</v>
      </c>
      <c r="F7" s="21">
        <v>16</v>
      </c>
      <c r="G7" s="21">
        <f>F7*675</f>
        <v>10800</v>
      </c>
      <c r="H7" s="21">
        <v>2000</v>
      </c>
      <c r="I7" s="21">
        <f t="shared" ref="I7:I8" si="0">G7+H7</f>
        <v>12800</v>
      </c>
      <c r="J7" s="21">
        <f>K7/50</f>
        <v>8551.4</v>
      </c>
      <c r="K7" s="21">
        <f>E7+I7</f>
        <v>427570</v>
      </c>
      <c r="L7" s="22">
        <v>9500</v>
      </c>
      <c r="M7" s="22">
        <f>L7*50</f>
        <v>475000</v>
      </c>
      <c r="N7" s="22">
        <f>L7-J7</f>
        <v>948.60000000000036</v>
      </c>
      <c r="O7" s="22">
        <f>M7-K7</f>
        <v>47430</v>
      </c>
    </row>
    <row r="8" spans="1:17" ht="27.6" customHeight="1" x14ac:dyDescent="0.3">
      <c r="A8" s="20" t="s">
        <v>10</v>
      </c>
      <c r="B8" s="20"/>
      <c r="C8" s="21"/>
      <c r="D8" s="21">
        <f>D7*5</f>
        <v>2183000</v>
      </c>
      <c r="E8" s="21">
        <f>E7*5</f>
        <v>2073850</v>
      </c>
      <c r="F8" s="21">
        <f>F7*5</f>
        <v>80</v>
      </c>
      <c r="G8" s="21">
        <f>F8*675</f>
        <v>54000</v>
      </c>
      <c r="H8" s="21">
        <f>H7*5</f>
        <v>10000</v>
      </c>
      <c r="I8" s="21">
        <f>I7*5</f>
        <v>64000</v>
      </c>
      <c r="J8" s="21"/>
      <c r="K8" s="21">
        <f>K7*5</f>
        <v>2137850</v>
      </c>
      <c r="L8" s="22"/>
      <c r="M8" s="22">
        <f>M7*5</f>
        <v>2375000</v>
      </c>
      <c r="N8" s="22"/>
      <c r="O8" s="22">
        <f>O7*5</f>
        <v>237150</v>
      </c>
    </row>
    <row r="9" spans="1:17" ht="27.6" customHeight="1" x14ac:dyDescent="0.3"/>
    <row r="10" spans="1:17" ht="27.6" customHeight="1" x14ac:dyDescent="0.3">
      <c r="A10" s="11"/>
      <c r="B10" s="12" t="s">
        <v>0</v>
      </c>
      <c r="C10" s="13" t="s">
        <v>9</v>
      </c>
      <c r="D10" s="14"/>
      <c r="E10" s="14"/>
      <c r="F10" s="11" t="s">
        <v>8</v>
      </c>
      <c r="G10" s="11"/>
      <c r="H10" s="11"/>
      <c r="I10" s="11"/>
      <c r="J10" s="13" t="s">
        <v>11</v>
      </c>
      <c r="K10" s="24"/>
      <c r="L10" s="25" t="s">
        <v>14</v>
      </c>
      <c r="M10" s="26"/>
      <c r="N10" s="25" t="s">
        <v>1</v>
      </c>
      <c r="O10" s="26"/>
    </row>
    <row r="11" spans="1:17" ht="27.6" customHeight="1" x14ac:dyDescent="0.3">
      <c r="A11" s="11"/>
      <c r="B11" s="15" t="s">
        <v>16</v>
      </c>
      <c r="C11" s="16" t="s">
        <v>2</v>
      </c>
      <c r="D11" s="16" t="s">
        <v>12</v>
      </c>
      <c r="E11" s="16" t="s">
        <v>13</v>
      </c>
      <c r="F11" s="16" t="s">
        <v>3</v>
      </c>
      <c r="G11" s="16" t="s">
        <v>4</v>
      </c>
      <c r="H11" s="16" t="s">
        <v>5</v>
      </c>
      <c r="I11" s="17" t="s">
        <v>6</v>
      </c>
      <c r="J11" s="17" t="s">
        <v>2</v>
      </c>
      <c r="K11" s="16" t="s">
        <v>7</v>
      </c>
      <c r="L11" s="18" t="s">
        <v>2</v>
      </c>
      <c r="M11" s="19" t="s">
        <v>7</v>
      </c>
      <c r="N11" s="18" t="s">
        <v>2</v>
      </c>
      <c r="O11" s="19" t="s">
        <v>7</v>
      </c>
    </row>
    <row r="12" spans="1:17" ht="27.6" customHeight="1" x14ac:dyDescent="0.3">
      <c r="A12" s="20" t="s">
        <v>7</v>
      </c>
      <c r="B12" s="20">
        <v>10</v>
      </c>
      <c r="C12" s="21">
        <v>8732</v>
      </c>
      <c r="D12" s="21">
        <f>(C12*50)</f>
        <v>436600</v>
      </c>
      <c r="E12" s="21">
        <f>D12*0.95</f>
        <v>414770</v>
      </c>
      <c r="F12" s="21">
        <v>8</v>
      </c>
      <c r="G12" s="21">
        <f>F12*675</f>
        <v>5400</v>
      </c>
      <c r="H12" s="21">
        <v>2000</v>
      </c>
      <c r="I12" s="21">
        <f t="shared" ref="I12:I13" si="1">G12+H12</f>
        <v>7400</v>
      </c>
      <c r="J12" s="21">
        <f>K12/50</f>
        <v>8443.4</v>
      </c>
      <c r="K12" s="21">
        <f>E12+I12</f>
        <v>422170</v>
      </c>
      <c r="L12" s="22">
        <v>9300</v>
      </c>
      <c r="M12" s="22">
        <f>L12*50</f>
        <v>465000</v>
      </c>
      <c r="N12" s="22">
        <f>L12-J12</f>
        <v>856.60000000000036</v>
      </c>
      <c r="O12" s="22">
        <f>M12-K12</f>
        <v>42830</v>
      </c>
    </row>
    <row r="13" spans="1:17" ht="27.6" customHeight="1" x14ac:dyDescent="0.3">
      <c r="A13" s="20" t="s">
        <v>10</v>
      </c>
      <c r="B13" s="20"/>
      <c r="C13" s="21"/>
      <c r="D13" s="21">
        <f>D12*5</f>
        <v>2183000</v>
      </c>
      <c r="E13" s="21">
        <f>E12*5</f>
        <v>2073850</v>
      </c>
      <c r="F13" s="21">
        <f>F12*5</f>
        <v>40</v>
      </c>
      <c r="G13" s="21">
        <f>G12*5</f>
        <v>27000</v>
      </c>
      <c r="H13" s="21">
        <f>H12*5</f>
        <v>10000</v>
      </c>
      <c r="I13" s="21">
        <f>I12*5</f>
        <v>37000</v>
      </c>
      <c r="J13" s="21"/>
      <c r="K13" s="21">
        <f>K12*5</f>
        <v>2110850</v>
      </c>
      <c r="L13" s="22"/>
      <c r="M13" s="22">
        <f>M12*5</f>
        <v>2325000</v>
      </c>
      <c r="N13" s="22"/>
      <c r="O13" s="22">
        <f>O12*5</f>
        <v>214150</v>
      </c>
    </row>
    <row r="14" spans="1:17" ht="27.6" customHeight="1" x14ac:dyDescent="0.3"/>
    <row r="15" spans="1:17" ht="27.6" customHeight="1" x14ac:dyDescent="0.3"/>
    <row r="16" spans="1:17" ht="27.6" customHeight="1" x14ac:dyDescent="0.3"/>
    <row r="17" ht="27.6" customHeight="1" x14ac:dyDescent="0.3"/>
    <row r="18" ht="27.6" customHeight="1" x14ac:dyDescent="0.3"/>
    <row r="19" ht="27.6" customHeight="1" x14ac:dyDescent="0.3"/>
    <row r="20" ht="27.6" customHeight="1" x14ac:dyDescent="0.3"/>
    <row r="21" ht="27.6" customHeight="1" x14ac:dyDescent="0.3"/>
    <row r="22" ht="27.6" customHeight="1" x14ac:dyDescent="0.3"/>
    <row r="23" ht="27.6" customHeight="1" x14ac:dyDescent="0.3"/>
    <row r="24" ht="27.6" customHeight="1" x14ac:dyDescent="0.3"/>
    <row r="25" ht="27.6" customHeight="1" x14ac:dyDescent="0.3"/>
    <row r="26" ht="27.6" customHeight="1" x14ac:dyDescent="0.3"/>
    <row r="27" ht="27.6" customHeight="1" x14ac:dyDescent="0.3"/>
    <row r="28" ht="27.6" customHeight="1" x14ac:dyDescent="0.3"/>
    <row r="29" ht="27.6" customHeight="1" x14ac:dyDescent="0.3"/>
    <row r="30" ht="27.6" customHeight="1" x14ac:dyDescent="0.3"/>
    <row r="31" ht="27.6" customHeight="1" x14ac:dyDescent="0.3"/>
    <row r="32" ht="27.6" customHeight="1" x14ac:dyDescent="0.3"/>
    <row r="33" ht="27.6" customHeight="1" x14ac:dyDescent="0.3"/>
    <row r="34" ht="27.6" customHeight="1" x14ac:dyDescent="0.3"/>
    <row r="35" ht="27.6" customHeight="1" x14ac:dyDescent="0.3"/>
    <row r="36" ht="27.6" customHeight="1" x14ac:dyDescent="0.3"/>
    <row r="37" ht="27.6" customHeight="1" x14ac:dyDescent="0.3"/>
    <row r="38" ht="27.6" customHeight="1" x14ac:dyDescent="0.3"/>
    <row r="39" ht="27.6" customHeight="1" x14ac:dyDescent="0.3"/>
    <row r="40" ht="27.6" customHeight="1" x14ac:dyDescent="0.3"/>
    <row r="41" ht="27.6" customHeight="1" x14ac:dyDescent="0.3"/>
    <row r="42" ht="27.6" customHeight="1" x14ac:dyDescent="0.3"/>
    <row r="43" ht="27.6" customHeight="1" x14ac:dyDescent="0.3"/>
    <row r="44" ht="27.6" customHeight="1" x14ac:dyDescent="0.3"/>
    <row r="45" ht="27.6" customHeight="1" x14ac:dyDescent="0.3"/>
    <row r="46" ht="27.6" customHeight="1" x14ac:dyDescent="0.3"/>
    <row r="47" ht="27.6" customHeight="1" x14ac:dyDescent="0.3"/>
    <row r="48" ht="27.6" customHeight="1" x14ac:dyDescent="0.3"/>
    <row r="49" ht="27.6" customHeight="1" x14ac:dyDescent="0.3"/>
    <row r="50" ht="27.6" customHeight="1" x14ac:dyDescent="0.3"/>
    <row r="51" ht="27.6" customHeight="1" x14ac:dyDescent="0.3"/>
    <row r="52" ht="27.6" customHeight="1" x14ac:dyDescent="0.3"/>
    <row r="53" ht="27.6" customHeight="1" x14ac:dyDescent="0.3"/>
    <row r="54" ht="27.6" customHeight="1" x14ac:dyDescent="0.3"/>
    <row r="55" ht="27.6" customHeight="1" x14ac:dyDescent="0.3"/>
    <row r="56" ht="27.6" customHeight="1" x14ac:dyDescent="0.3"/>
    <row r="57" ht="27.6" customHeight="1" x14ac:dyDescent="0.3"/>
    <row r="58" ht="27.6" customHeight="1" x14ac:dyDescent="0.3"/>
    <row r="59" ht="27.6" customHeight="1" x14ac:dyDescent="0.3"/>
    <row r="60" ht="27.6" customHeight="1" x14ac:dyDescent="0.3"/>
    <row r="61" ht="27.6" customHeight="1" x14ac:dyDescent="0.3"/>
    <row r="62" ht="27.6" customHeight="1" x14ac:dyDescent="0.3"/>
    <row r="63" ht="27.6" customHeight="1" x14ac:dyDescent="0.3"/>
    <row r="64" ht="27.6" customHeight="1" x14ac:dyDescent="0.3"/>
    <row r="65" ht="27.6" customHeight="1" x14ac:dyDescent="0.3"/>
    <row r="66" ht="27.6" customHeight="1" x14ac:dyDescent="0.3"/>
    <row r="67" ht="27.6" customHeight="1" x14ac:dyDescent="0.3"/>
    <row r="68" ht="27.6" customHeight="1" x14ac:dyDescent="0.3"/>
    <row r="69" ht="27.6" customHeight="1" x14ac:dyDescent="0.3"/>
    <row r="70" ht="27.6" customHeight="1" x14ac:dyDescent="0.3"/>
    <row r="71" ht="27.6" customHeight="1" x14ac:dyDescent="0.3"/>
    <row r="72" ht="27.6" customHeight="1" x14ac:dyDescent="0.3"/>
    <row r="73" ht="27.6" customHeight="1" x14ac:dyDescent="0.3"/>
    <row r="74" ht="27.6" customHeight="1" x14ac:dyDescent="0.3"/>
    <row r="75" ht="27.6" customHeight="1" x14ac:dyDescent="0.3"/>
    <row r="76" ht="27.6" customHeight="1" x14ac:dyDescent="0.3"/>
    <row r="77" ht="27.6" customHeight="1" x14ac:dyDescent="0.3"/>
    <row r="78" ht="27.6" customHeight="1" x14ac:dyDescent="0.3"/>
    <row r="79" ht="27.6" customHeight="1" x14ac:dyDescent="0.3"/>
    <row r="80" ht="27.6" customHeight="1" x14ac:dyDescent="0.3"/>
    <row r="81" ht="27.6" customHeight="1" x14ac:dyDescent="0.3"/>
    <row r="82" ht="27.6" customHeight="1" x14ac:dyDescent="0.3"/>
    <row r="83" ht="27.6" customHeight="1" x14ac:dyDescent="0.3"/>
    <row r="84" ht="27.6" customHeight="1" x14ac:dyDescent="0.3"/>
    <row r="85" ht="27.6" customHeight="1" x14ac:dyDescent="0.3"/>
    <row r="86" ht="27.6" customHeight="1" x14ac:dyDescent="0.3"/>
    <row r="87" ht="27.6" customHeight="1" x14ac:dyDescent="0.3"/>
    <row r="88" ht="27.6" customHeight="1" x14ac:dyDescent="0.3"/>
    <row r="89" ht="27.6" customHeight="1" x14ac:dyDescent="0.3"/>
    <row r="90" ht="27.6" customHeight="1" x14ac:dyDescent="0.3"/>
    <row r="91" ht="27.6" customHeight="1" x14ac:dyDescent="0.3"/>
    <row r="92" ht="27.6" customHeight="1" x14ac:dyDescent="0.3"/>
    <row r="93" ht="27.6" customHeight="1" x14ac:dyDescent="0.3"/>
    <row r="94" ht="27.6" customHeight="1" x14ac:dyDescent="0.3"/>
    <row r="95" ht="27.6" customHeight="1" x14ac:dyDescent="0.3"/>
    <row r="96" ht="27.6" customHeight="1" x14ac:dyDescent="0.3"/>
    <row r="97" ht="27.6" customHeight="1" x14ac:dyDescent="0.3"/>
    <row r="98" ht="27.6" customHeight="1" x14ac:dyDescent="0.3"/>
    <row r="99" ht="27.6" customHeight="1" x14ac:dyDescent="0.3"/>
    <row r="100" ht="27.6" customHeight="1" x14ac:dyDescent="0.3"/>
    <row r="101" ht="27.6" customHeight="1" x14ac:dyDescent="0.3"/>
    <row r="102" ht="27.6" customHeight="1" x14ac:dyDescent="0.3"/>
    <row r="103" ht="27.6" customHeight="1" x14ac:dyDescent="0.3"/>
    <row r="104" ht="27.6" customHeight="1" x14ac:dyDescent="0.3"/>
    <row r="105" ht="27.6" customHeight="1" x14ac:dyDescent="0.3"/>
    <row r="106" ht="27.6" customHeight="1" x14ac:dyDescent="0.3"/>
    <row r="107" ht="27.6" customHeight="1" x14ac:dyDescent="0.3"/>
    <row r="108" ht="27.6" customHeight="1" x14ac:dyDescent="0.3"/>
  </sheetData>
  <mergeCells count="13">
    <mergeCell ref="A10:A11"/>
    <mergeCell ref="C10:E10"/>
    <mergeCell ref="F10:I10"/>
    <mergeCell ref="J10:K10"/>
    <mergeCell ref="L10:M10"/>
    <mergeCell ref="N10:O10"/>
    <mergeCell ref="L5:M5"/>
    <mergeCell ref="N5:O5"/>
    <mergeCell ref="A1:K1"/>
    <mergeCell ref="A5:A6"/>
    <mergeCell ref="C5:E5"/>
    <mergeCell ref="F5:I5"/>
    <mergeCell ref="J5:K5"/>
  </mergeCells>
  <pageMargins left="0.23622047244094491" right="0.23622047244094491" top="0.74803149606299213" bottom="0.74803149606299213" header="0.31496062992125984" footer="0.31496062992125984"/>
  <pageSetup paperSize="9" scale="86" orientation="landscape" horizontalDpi="4294967293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Grille tarifaire</vt:lpstr>
      <vt:lpstr>'Grille tarifaire'!Impression_des_titres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2025-10-01T09:36:21Z</dcterms:created>
  <dcterms:modified xsi:type="dcterms:W3CDTF">2025-10-01T11:06:48Z</dcterms:modified>
</cp:coreProperties>
</file>